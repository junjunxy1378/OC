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/claude-project/OC/"/>
    </mc:Choice>
  </mc:AlternateContent>
  <xr:revisionPtr revIDLastSave="0" documentId="13_ncr:1_{7D8459EE-16E8-3849-BC5C-61522A46BA35}" xr6:coauthVersionLast="47" xr6:coauthVersionMax="47" xr10:uidLastSave="{00000000-0000-0000-0000-000000000000}"/>
  <bookViews>
    <workbookView xWindow="0" yWindow="500" windowWidth="22920" windowHeight="26640" xr2:uid="{C27C83FE-170E-D645-9354-D51869A12873}"/>
  </bookViews>
  <sheets>
    <sheet name="Frag#2" sheetId="2" r:id="rId1"/>
    <sheet name="Frag#3" sheetId="1" r:id="rId2"/>
    <sheet name="Frag#4" sheetId="4" r:id="rId3"/>
    <sheet name="Frag#5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E10" i="2"/>
  <c r="E3" i="2"/>
  <c r="B4" i="1"/>
  <c r="B4" i="2"/>
  <c r="B8" i="1"/>
  <c r="B7" i="1"/>
  <c r="B8" i="2"/>
  <c r="B7" i="2"/>
  <c r="E7" i="2"/>
  <c r="F19" i="4"/>
  <c r="B4" i="4"/>
  <c r="E3" i="1"/>
  <c r="E7" i="1"/>
  <c r="B12" i="1"/>
  <c r="B11" i="1"/>
  <c r="E11" i="1"/>
  <c r="K5" i="1"/>
  <c r="J5" i="1"/>
  <c r="E3" i="4"/>
  <c r="B8" i="4"/>
  <c r="B7" i="4"/>
  <c r="E7" i="4"/>
  <c r="B12" i="4"/>
  <c r="B11" i="4"/>
  <c r="E11" i="4"/>
  <c r="B16" i="4"/>
  <c r="B15" i="4"/>
  <c r="E15" i="4"/>
  <c r="H5" i="4"/>
  <c r="H5" i="1"/>
  <c r="H5" i="5"/>
  <c r="B4" i="5"/>
  <c r="I5" i="1"/>
  <c r="I5" i="4"/>
  <c r="J8" i="4"/>
  <c r="H13" i="4"/>
  <c r="B12" i="5"/>
  <c r="B16" i="5"/>
  <c r="E3" i="5"/>
  <c r="B15" i="5"/>
  <c r="E15" i="5"/>
  <c r="B20" i="5"/>
  <c r="B19" i="5"/>
  <c r="E19" i="5"/>
  <c r="B8" i="5"/>
  <c r="B7" i="5"/>
  <c r="B11" i="5"/>
  <c r="E11" i="5"/>
  <c r="A15" i="1"/>
  <c r="A22" i="4"/>
  <c r="A23" i="5"/>
  <c r="E7" i="5"/>
  <c r="A11" i="2"/>
  <c r="J5" i="2"/>
  <c r="I5" i="2"/>
</calcChain>
</file>

<file path=xl/sharedStrings.xml><?xml version="1.0" encoding="utf-8"?>
<sst xmlns="http://schemas.openxmlformats.org/spreadsheetml/2006/main" count="66" uniqueCount="21">
  <si>
    <t>pmol</t>
    <phoneticPr fontId="2" type="noConversion"/>
  </si>
  <si>
    <t>#1 DNA Length (bp)</t>
    <phoneticPr fontId="2" type="noConversion"/>
  </si>
  <si>
    <t>#1 DNA amount (ug)</t>
    <phoneticPr fontId="2" type="noConversion"/>
  </si>
  <si>
    <t>#2 DNA Length (bp)</t>
    <phoneticPr fontId="2" type="noConversion"/>
  </si>
  <si>
    <t>#2 DNA amount (ug)</t>
    <phoneticPr fontId="2" type="noConversion"/>
  </si>
  <si>
    <t>Vector concentration</t>
    <phoneticPr fontId="2" type="noConversion"/>
  </si>
  <si>
    <t>#3 DNA Length (bp)</t>
    <phoneticPr fontId="2" type="noConversion"/>
  </si>
  <si>
    <t>#3 DNA amount (ug)</t>
    <phoneticPr fontId="2" type="noConversion"/>
  </si>
  <si>
    <t>OC reaction total</t>
    <phoneticPr fontId="2" type="noConversion"/>
  </si>
  <si>
    <t>Enzyme</t>
    <phoneticPr fontId="2" type="noConversion"/>
  </si>
  <si>
    <t>Buffer</t>
    <phoneticPr fontId="2" type="noConversion"/>
  </si>
  <si>
    <t>DW</t>
    <phoneticPr fontId="2" type="noConversion"/>
  </si>
  <si>
    <t>F#1 + F#2 + F#3</t>
    <phoneticPr fontId="2" type="noConversion"/>
  </si>
  <si>
    <t>F#1 + F#2</t>
    <phoneticPr fontId="2" type="noConversion"/>
  </si>
  <si>
    <t>#4 DNA Length (bp)</t>
    <phoneticPr fontId="2" type="noConversion"/>
  </si>
  <si>
    <t>#4 DNA amount (ug)</t>
    <phoneticPr fontId="2" type="noConversion"/>
  </si>
  <si>
    <t>F#1 + F#2 + F#3 + F#4</t>
    <phoneticPr fontId="2" type="noConversion"/>
  </si>
  <si>
    <t>F#1 + F#2 + F#3 + F#4 + F#5</t>
    <phoneticPr fontId="2" type="noConversion"/>
  </si>
  <si>
    <t>#5 DNA Length (bp)</t>
    <phoneticPr fontId="2" type="noConversion"/>
  </si>
  <si>
    <t>#5DNA amount (ug)</t>
    <phoneticPr fontId="2" type="noConversion"/>
  </si>
  <si>
    <t>Vector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</si>
</sst>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4" x14ac:knownFonts="1">
    <font>
      <sz val="12"/>
      <color theme="1"/>
      <name val="Calibri"/>
      <family val="2"/>
      <charset val="129"/>
      <scheme val="minor"/>
    </font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8"/>
      <color theme="1"/>
      <name val="Calibri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1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2" borderId="1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AD8A8-A72E-8442-9971-977C01B89987}">
  <dimension ref="A1:J11"/>
  <sheetViews>
    <sheetView tabSelected="1" zoomScale="90" zoomScaleNormal="90" workbookViewId="0">
      <selection activeCell="J14" sqref="J14"/>
    </sheetView>
  </sheetViews>
  <sheetFormatPr baseColWidth="10" defaultColWidth="10.83203125" defaultRowHeight="24" x14ac:dyDescent="0.2"/>
  <cols>
    <col min="1" max="1" width="27.83203125" style="4" bestFit="1" customWidth="1"/>
    <col min="2" max="2" width="17.6640625" style="4" bestFit="1" customWidth="1"/>
    <col min="3" max="3" width="10.83203125" style="4"/>
    <col min="4" max="4" width="18.5" style="4" bestFit="1" customWidth="1"/>
    <col min="5" max="5" width="17.33203125" style="4" bestFit="1" customWidth="1"/>
    <col min="6" max="8" width="10.83203125" style="4"/>
    <col min="9" max="9" width="13.33203125" style="4" bestFit="1" customWidth="1"/>
    <col min="10" max="10" width="19.6640625" style="4" bestFit="1" customWidth="1"/>
    <col min="11" max="16384" width="10.83203125" style="4"/>
  </cols>
  <sheetData>
    <row r="1" spans="1:10" x14ac:dyDescent="0.2">
      <c r="D1" s="4" t="s">
        <v>5</v>
      </c>
      <c r="H1" s="7" t="s">
        <v>8</v>
      </c>
      <c r="I1" s="7"/>
      <c r="J1" s="7"/>
    </row>
    <row r="2" spans="1:10" x14ac:dyDescent="0.2">
      <c r="A2" s="4" t="s">
        <v>1</v>
      </c>
      <c r="B2" s="6">
        <v>4445</v>
      </c>
      <c r="H2" s="4">
        <v>10</v>
      </c>
      <c r="I2" s="4">
        <v>15</v>
      </c>
      <c r="J2" s="4">
        <v>20</v>
      </c>
    </row>
    <row r="3" spans="1:10" x14ac:dyDescent="0.2">
      <c r="A3" s="4" t="s">
        <v>2</v>
      </c>
      <c r="B3" s="6">
        <v>200</v>
      </c>
      <c r="D3" s="6">
        <v>84</v>
      </c>
      <c r="E3" s="4">
        <f>B3/D3</f>
        <v>2.3809523809523809</v>
      </c>
      <c r="G3" s="4" t="s">
        <v>9</v>
      </c>
      <c r="H3" s="4">
        <v>1</v>
      </c>
      <c r="I3" s="4">
        <v>1</v>
      </c>
      <c r="J3" s="4">
        <v>1</v>
      </c>
    </row>
    <row r="4" spans="1:10" x14ac:dyDescent="0.2">
      <c r="A4" s="4" t="s">
        <v>0</v>
      </c>
      <c r="B4" s="4">
        <f>B3/660*1000000/B2</f>
        <v>68.173296519753208</v>
      </c>
      <c r="G4" s="4" t="s">
        <v>10</v>
      </c>
      <c r="H4" s="4">
        <v>1</v>
      </c>
      <c r="I4" s="4">
        <v>1.5</v>
      </c>
      <c r="J4" s="4">
        <v>2</v>
      </c>
    </row>
    <row r="5" spans="1:10" x14ac:dyDescent="0.2">
      <c r="G5" s="4" t="s">
        <v>11</v>
      </c>
      <c r="H5" s="5">
        <f>H2-H3-E3-E7-H4</f>
        <v>1.9595050618672665</v>
      </c>
      <c r="I5" s="4">
        <f>12.5-E3-E7</f>
        <v>6.4595050618672669</v>
      </c>
      <c r="J5" s="4">
        <f>20-J3-J4-E3-E7</f>
        <v>10.959505061867267</v>
      </c>
    </row>
    <row r="6" spans="1:10" x14ac:dyDescent="0.2">
      <c r="A6" s="4" t="s">
        <v>3</v>
      </c>
      <c r="B6" s="6">
        <v>976</v>
      </c>
    </row>
    <row r="7" spans="1:10" x14ac:dyDescent="0.2">
      <c r="A7" s="4" t="s">
        <v>4</v>
      </c>
      <c r="B7" s="4">
        <f>B8*660*B6/1000000</f>
        <v>43.914510686164228</v>
      </c>
      <c r="D7" s="6">
        <v>12</v>
      </c>
      <c r="E7" s="4">
        <f>B7/D7</f>
        <v>3.6595425571803522</v>
      </c>
    </row>
    <row r="8" spans="1:10" x14ac:dyDescent="0.2">
      <c r="A8" s="4" t="s">
        <v>0</v>
      </c>
      <c r="B8" s="6">
        <f>B4</f>
        <v>68.173296519753208</v>
      </c>
    </row>
    <row r="10" spans="1:10" x14ac:dyDescent="0.2">
      <c r="A10" s="4" t="s">
        <v>13</v>
      </c>
      <c r="E10" s="4">
        <f>E7-6.46</f>
        <v>-2.8004574428196478</v>
      </c>
    </row>
    <row r="11" spans="1:10" x14ac:dyDescent="0.2">
      <c r="A11" s="4">
        <f>B3+B7</f>
        <v>243.91451068616422</v>
      </c>
    </row>
  </sheetData>
  <mergeCells count="1">
    <mergeCell ref="H1:J1"/>
  </mergeCells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BF0B6-EA97-AD4A-9080-D770BCA7601A}">
  <dimension ref="A1:K15"/>
  <sheetViews>
    <sheetView zoomScale="90" zoomScaleNormal="90" workbookViewId="0">
      <selection activeCell="D12" sqref="D12"/>
    </sheetView>
  </sheetViews>
  <sheetFormatPr baseColWidth="10" defaultColWidth="10.83203125" defaultRowHeight="24" x14ac:dyDescent="0.2"/>
  <cols>
    <col min="1" max="1" width="27.83203125" style="4" bestFit="1" customWidth="1"/>
    <col min="2" max="2" width="17.6640625" style="4" bestFit="1" customWidth="1"/>
    <col min="3" max="3" width="10.83203125" style="4"/>
    <col min="4" max="4" width="18.5" style="4" bestFit="1" customWidth="1"/>
    <col min="5" max="5" width="10.83203125" style="5"/>
    <col min="6" max="9" width="10.83203125" style="4"/>
    <col min="10" max="10" width="11.6640625" style="4" bestFit="1" customWidth="1"/>
    <col min="11" max="16384" width="10.83203125" style="4"/>
  </cols>
  <sheetData>
    <row r="1" spans="1:11" x14ac:dyDescent="0.2">
      <c r="D1" s="4" t="s">
        <v>5</v>
      </c>
      <c r="H1" s="7" t="s">
        <v>8</v>
      </c>
      <c r="I1" s="7"/>
      <c r="J1" s="7"/>
    </row>
    <row r="2" spans="1:11" x14ac:dyDescent="0.2">
      <c r="A2" s="4" t="s">
        <v>1</v>
      </c>
      <c r="B2" s="6">
        <v>2581</v>
      </c>
      <c r="H2" s="4">
        <v>10</v>
      </c>
      <c r="I2" s="4">
        <v>15</v>
      </c>
      <c r="J2" s="4">
        <v>20</v>
      </c>
      <c r="K2" s="4">
        <v>30</v>
      </c>
    </row>
    <row r="3" spans="1:11" x14ac:dyDescent="0.2">
      <c r="A3" s="4" t="s">
        <v>2</v>
      </c>
      <c r="B3" s="6">
        <v>100</v>
      </c>
      <c r="D3" s="6">
        <v>78.8</v>
      </c>
      <c r="E3" s="5">
        <f>B3/D3</f>
        <v>1.2690355329949239</v>
      </c>
      <c r="G3" s="4" t="s">
        <v>9</v>
      </c>
      <c r="H3" s="4">
        <v>1</v>
      </c>
      <c r="I3" s="4">
        <v>1</v>
      </c>
      <c r="J3" s="4">
        <v>1</v>
      </c>
      <c r="K3" s="4">
        <v>1</v>
      </c>
    </row>
    <row r="4" spans="1:11" x14ac:dyDescent="0.2">
      <c r="A4" s="4" t="s">
        <v>0</v>
      </c>
      <c r="B4" s="4">
        <f>B3/660*1000000/B2</f>
        <v>58.704049405327979</v>
      </c>
      <c r="G4" s="4" t="s">
        <v>10</v>
      </c>
      <c r="H4" s="4">
        <v>1</v>
      </c>
      <c r="I4" s="4">
        <v>1.5</v>
      </c>
      <c r="J4" s="4">
        <v>2</v>
      </c>
      <c r="K4" s="4">
        <v>3</v>
      </c>
    </row>
    <row r="5" spans="1:11" x14ac:dyDescent="0.2">
      <c r="G5" s="4" t="s">
        <v>11</v>
      </c>
      <c r="H5" s="5">
        <f>H2-H3-H4-E3-E7-E11</f>
        <v>4.6636426631470469</v>
      </c>
      <c r="I5" s="5">
        <f>15-1-1.5-E3-E7-E11</f>
        <v>9.1636426631470478</v>
      </c>
      <c r="J5" s="5">
        <f>J2-J3-J4-E3-E7-E11</f>
        <v>13.663642663147048</v>
      </c>
      <c r="K5" s="5">
        <f>30-4-E3-E7-E11</f>
        <v>22.663642663147044</v>
      </c>
    </row>
    <row r="6" spans="1:11" x14ac:dyDescent="0.2">
      <c r="A6" s="4" t="s">
        <v>3</v>
      </c>
      <c r="B6" s="6">
        <v>2536</v>
      </c>
    </row>
    <row r="7" spans="1:11" x14ac:dyDescent="0.2">
      <c r="A7" s="4" t="s">
        <v>4</v>
      </c>
      <c r="B7" s="4">
        <f>B8*660*B6/1000000</f>
        <v>98.256489732661748</v>
      </c>
      <c r="D7" s="6">
        <v>60</v>
      </c>
      <c r="E7" s="5">
        <f>B7/D7</f>
        <v>1.6376081622110292</v>
      </c>
    </row>
    <row r="8" spans="1:11" x14ac:dyDescent="0.2">
      <c r="A8" s="4" t="s">
        <v>0</v>
      </c>
      <c r="B8" s="6">
        <f>B4</f>
        <v>58.704049405327979</v>
      </c>
    </row>
    <row r="10" spans="1:11" x14ac:dyDescent="0.2">
      <c r="A10" s="4" t="s">
        <v>6</v>
      </c>
      <c r="B10" s="6">
        <v>366</v>
      </c>
    </row>
    <row r="11" spans="1:11" x14ac:dyDescent="0.2">
      <c r="A11" s="4" t="s">
        <v>7</v>
      </c>
      <c r="B11" s="4">
        <f>B12*660*B10/1000000</f>
        <v>14.180550174351024</v>
      </c>
      <c r="D11" s="6">
        <v>33</v>
      </c>
      <c r="E11" s="5">
        <f>B11/D11</f>
        <v>0.42971364164700077</v>
      </c>
    </row>
    <row r="12" spans="1:11" x14ac:dyDescent="0.2">
      <c r="A12" s="4" t="s">
        <v>0</v>
      </c>
      <c r="B12" s="6">
        <f>B4</f>
        <v>58.704049405327979</v>
      </c>
    </row>
    <row r="14" spans="1:11" x14ac:dyDescent="0.2">
      <c r="A14" s="4" t="s">
        <v>12</v>
      </c>
    </row>
    <row r="15" spans="1:11" x14ac:dyDescent="0.2">
      <c r="A15" s="4">
        <f>B3+B7+B11</f>
        <v>212.43703990701277</v>
      </c>
    </row>
  </sheetData>
  <mergeCells count="1">
    <mergeCell ref="H1:J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8D47E-D547-DA4D-B17A-D75BEF96FD40}">
  <dimension ref="A1:J26"/>
  <sheetViews>
    <sheetView zoomScale="296" zoomScaleNormal="115" workbookViewId="0">
      <selection activeCell="I18" sqref="I18"/>
    </sheetView>
  </sheetViews>
  <sheetFormatPr baseColWidth="10" defaultColWidth="10.83203125" defaultRowHeight="16" x14ac:dyDescent="0.2"/>
  <cols>
    <col min="1" max="1" width="20.83203125" style="1" bestFit="1" customWidth="1"/>
    <col min="2" max="3" width="10.83203125" style="1"/>
    <col min="4" max="4" width="18.5" style="1" bestFit="1" customWidth="1"/>
    <col min="5" max="5" width="10.83203125" style="2"/>
    <col min="6" max="16384" width="10.83203125" style="1"/>
  </cols>
  <sheetData>
    <row r="1" spans="1:10" x14ac:dyDescent="0.2">
      <c r="D1" s="1" t="s">
        <v>20</v>
      </c>
      <c r="H1" s="8" t="s">
        <v>8</v>
      </c>
      <c r="I1" s="8"/>
      <c r="J1" s="8"/>
    </row>
    <row r="2" spans="1:10" x14ac:dyDescent="0.2">
      <c r="A2" s="1" t="s">
        <v>1</v>
      </c>
      <c r="B2" s="3">
        <v>6584</v>
      </c>
      <c r="H2" s="1">
        <v>10</v>
      </c>
      <c r="I2" s="1">
        <v>15</v>
      </c>
      <c r="J2" s="1">
        <v>20</v>
      </c>
    </row>
    <row r="3" spans="1:10" x14ac:dyDescent="0.2">
      <c r="A3" s="1" t="s">
        <v>2</v>
      </c>
      <c r="B3" s="3">
        <v>150</v>
      </c>
      <c r="D3" s="3">
        <v>171</v>
      </c>
      <c r="E3" s="2">
        <f>B3/D3</f>
        <v>0.8771929824561403</v>
      </c>
      <c r="G3" s="1" t="s">
        <v>9</v>
      </c>
      <c r="H3" s="1">
        <v>1</v>
      </c>
      <c r="I3" s="1">
        <v>1</v>
      </c>
    </row>
    <row r="4" spans="1:10" x14ac:dyDescent="0.2">
      <c r="A4" s="1" t="s">
        <v>0</v>
      </c>
      <c r="B4" s="1">
        <f>B3/660*1000000/B2</f>
        <v>34.518943996465261</v>
      </c>
      <c r="G4" s="1" t="s">
        <v>10</v>
      </c>
      <c r="H4" s="1">
        <v>1</v>
      </c>
      <c r="I4" s="1">
        <v>1.5</v>
      </c>
    </row>
    <row r="5" spans="1:10" x14ac:dyDescent="0.2">
      <c r="G5" s="1" t="s">
        <v>11</v>
      </c>
      <c r="H5" s="2">
        <f>H2-H3-H4-E3-E7-E11-E15</f>
        <v>5.4710329831839406</v>
      </c>
      <c r="I5" s="2">
        <f>I2-I3-I4-E3-E7-E11-E15</f>
        <v>9.9710329831839424</v>
      </c>
    </row>
    <row r="6" spans="1:10" x14ac:dyDescent="0.2">
      <c r="A6" s="1" t="s">
        <v>3</v>
      </c>
      <c r="B6" s="3">
        <v>3986</v>
      </c>
    </row>
    <row r="7" spans="1:10" x14ac:dyDescent="0.2">
      <c r="A7" s="1" t="s">
        <v>4</v>
      </c>
      <c r="B7" s="1">
        <f>B8*660*B6/1000000</f>
        <v>90.811057108140943</v>
      </c>
      <c r="D7" s="3">
        <v>85.5</v>
      </c>
      <c r="E7" s="2">
        <f>B7/D7</f>
        <v>1.0621176269958006</v>
      </c>
    </row>
    <row r="8" spans="1:10" x14ac:dyDescent="0.2">
      <c r="A8" s="1" t="s">
        <v>0</v>
      </c>
      <c r="B8" s="3">
        <f>B4</f>
        <v>34.518943996465261</v>
      </c>
      <c r="J8" s="2">
        <f>12-1-1.2-E3-E7-E11-E15</f>
        <v>7.2710329831839413</v>
      </c>
    </row>
    <row r="10" spans="1:10" x14ac:dyDescent="0.2">
      <c r="A10" s="1" t="s">
        <v>6</v>
      </c>
      <c r="B10" s="3">
        <v>751</v>
      </c>
    </row>
    <row r="11" spans="1:10" x14ac:dyDescent="0.2">
      <c r="A11" s="1" t="s">
        <v>7</v>
      </c>
      <c r="B11" s="1">
        <f>B12*660*B10/1000000</f>
        <v>17.109659781287974</v>
      </c>
      <c r="D11" s="3">
        <v>47.9</v>
      </c>
      <c r="E11" s="2">
        <f>B11/D11</f>
        <v>0.35719540253210802</v>
      </c>
    </row>
    <row r="12" spans="1:10" x14ac:dyDescent="0.2">
      <c r="A12" s="1" t="s">
        <v>0</v>
      </c>
      <c r="B12" s="3">
        <f>B4</f>
        <v>34.518943996465261</v>
      </c>
    </row>
    <row r="13" spans="1:10" x14ac:dyDescent="0.2">
      <c r="H13" s="2">
        <f>11-1-1.1-E3-E7-E11-E15</f>
        <v>6.371032983183941</v>
      </c>
    </row>
    <row r="14" spans="1:10" x14ac:dyDescent="0.2">
      <c r="A14" s="1" t="s">
        <v>14</v>
      </c>
      <c r="B14" s="3">
        <v>351</v>
      </c>
    </row>
    <row r="15" spans="1:10" x14ac:dyDescent="0.2">
      <c r="A15" s="1" t="s">
        <v>15</v>
      </c>
      <c r="B15" s="1">
        <f>B16*660*B14/1000000</f>
        <v>7.996658566221142</v>
      </c>
      <c r="D15" s="3">
        <v>34.4</v>
      </c>
      <c r="E15" s="2">
        <f>B15/D15</f>
        <v>0.23246100483200996</v>
      </c>
    </row>
    <row r="16" spans="1:10" x14ac:dyDescent="0.2">
      <c r="A16" s="1" t="s">
        <v>0</v>
      </c>
      <c r="B16" s="3">
        <f>B4</f>
        <v>34.518943996465261</v>
      </c>
    </row>
    <row r="19" spans="1:6" x14ac:dyDescent="0.2">
      <c r="F19" s="1">
        <f>4.34-3.75</f>
        <v>0.58999999999999986</v>
      </c>
    </row>
    <row r="21" spans="1:6" x14ac:dyDescent="0.2">
      <c r="A21" s="1" t="s">
        <v>16</v>
      </c>
    </row>
    <row r="22" spans="1:6" x14ac:dyDescent="0.2">
      <c r="A22" s="1">
        <f>B3+B7+B11+B15</f>
        <v>265.91737545565007</v>
      </c>
    </row>
    <row r="26" spans="1:6" ht="24" x14ac:dyDescent="0.2">
      <c r="D26" s="4"/>
    </row>
  </sheetData>
  <mergeCells count="1">
    <mergeCell ref="H1:J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CD043-DB7C-D14A-957E-E4555A4824BC}">
  <dimension ref="A1:J26"/>
  <sheetViews>
    <sheetView zoomScale="130" zoomScaleNormal="130" workbookViewId="0">
      <selection activeCell="H6" sqref="H6"/>
    </sheetView>
  </sheetViews>
  <sheetFormatPr baseColWidth="10" defaultColWidth="10.83203125" defaultRowHeight="16" x14ac:dyDescent="0.2"/>
  <cols>
    <col min="1" max="1" width="26.5" style="1" bestFit="1" customWidth="1"/>
    <col min="2" max="3" width="10.83203125" style="1"/>
    <col min="4" max="4" width="18.5" style="1" bestFit="1" customWidth="1"/>
    <col min="5" max="5" width="10.83203125" style="2"/>
    <col min="6" max="16384" width="10.83203125" style="1"/>
  </cols>
  <sheetData>
    <row r="1" spans="1:10" x14ac:dyDescent="0.2">
      <c r="D1" s="1" t="s">
        <v>5</v>
      </c>
      <c r="H1" s="8" t="s">
        <v>8</v>
      </c>
      <c r="I1" s="8"/>
      <c r="J1" s="8"/>
    </row>
    <row r="2" spans="1:10" x14ac:dyDescent="0.2">
      <c r="A2" s="1" t="s">
        <v>1</v>
      </c>
      <c r="B2" s="3">
        <v>2915</v>
      </c>
      <c r="H2" s="1">
        <v>10</v>
      </c>
      <c r="I2" s="1">
        <v>15</v>
      </c>
      <c r="J2" s="1">
        <v>20</v>
      </c>
    </row>
    <row r="3" spans="1:10" x14ac:dyDescent="0.2">
      <c r="A3" s="1" t="s">
        <v>2</v>
      </c>
      <c r="B3" s="3">
        <v>150</v>
      </c>
      <c r="D3" s="3">
        <v>37.799999999999997</v>
      </c>
      <c r="E3" s="2">
        <f>D3/B3</f>
        <v>0.252</v>
      </c>
      <c r="G3" s="1" t="s">
        <v>9</v>
      </c>
      <c r="H3" s="1">
        <v>1</v>
      </c>
    </row>
    <row r="4" spans="1:10" x14ac:dyDescent="0.2">
      <c r="A4" s="1" t="s">
        <v>0</v>
      </c>
      <c r="B4" s="1">
        <f>B3/660*1000000/B2</f>
        <v>77.966630282239194</v>
      </c>
      <c r="G4" s="1" t="s">
        <v>10</v>
      </c>
      <c r="H4" s="1">
        <v>1</v>
      </c>
    </row>
    <row r="5" spans="1:10" x14ac:dyDescent="0.2">
      <c r="G5" s="1" t="s">
        <v>11</v>
      </c>
      <c r="H5" s="2">
        <f>H2-H3-H4-E3-E7-E11-E15-E19</f>
        <v>4.8309067503721765</v>
      </c>
    </row>
    <row r="6" spans="1:10" x14ac:dyDescent="0.2">
      <c r="A6" s="1" t="s">
        <v>3</v>
      </c>
      <c r="B6" s="3">
        <v>1747</v>
      </c>
    </row>
    <row r="7" spans="1:10" x14ac:dyDescent="0.2">
      <c r="A7" s="1" t="s">
        <v>4</v>
      </c>
      <c r="B7" s="1">
        <f>B8*660*B6/1000000</f>
        <v>89.897084048027423</v>
      </c>
      <c r="D7" s="3">
        <v>73.400000000000006</v>
      </c>
      <c r="E7" s="2">
        <f>D7/B7</f>
        <v>0.81648921961457765</v>
      </c>
    </row>
    <row r="8" spans="1:10" x14ac:dyDescent="0.2">
      <c r="A8" s="1" t="s">
        <v>0</v>
      </c>
      <c r="B8" s="3">
        <f>B4</f>
        <v>77.966630282239194</v>
      </c>
    </row>
    <row r="10" spans="1:10" x14ac:dyDescent="0.2">
      <c r="A10" s="1" t="s">
        <v>6</v>
      </c>
      <c r="B10" s="3">
        <v>977</v>
      </c>
    </row>
    <row r="11" spans="1:10" x14ac:dyDescent="0.2">
      <c r="A11" s="1" t="s">
        <v>7</v>
      </c>
      <c r="B11" s="1">
        <f>B12*660*B10/1000000</f>
        <v>50.274442538593476</v>
      </c>
      <c r="D11" s="3">
        <v>31</v>
      </c>
      <c r="E11" s="2">
        <f>B11/D11</f>
        <v>1.6217562109223702</v>
      </c>
    </row>
    <row r="12" spans="1:10" x14ac:dyDescent="0.2">
      <c r="A12" s="1" t="s">
        <v>0</v>
      </c>
      <c r="B12" s="3">
        <f>B4</f>
        <v>77.966630282239194</v>
      </c>
    </row>
    <row r="14" spans="1:10" x14ac:dyDescent="0.2">
      <c r="A14" s="1" t="s">
        <v>14</v>
      </c>
      <c r="B14" s="3">
        <v>55</v>
      </c>
    </row>
    <row r="15" spans="1:10" x14ac:dyDescent="0.2">
      <c r="A15" s="1" t="s">
        <v>15</v>
      </c>
      <c r="B15" s="1">
        <f>B16*660*B14/1000000</f>
        <v>2.8301886792452824</v>
      </c>
      <c r="D15" s="3">
        <v>9.4</v>
      </c>
      <c r="E15" s="2">
        <f>B15/D15</f>
        <v>0.30108390204737046</v>
      </c>
    </row>
    <row r="16" spans="1:10" x14ac:dyDescent="0.2">
      <c r="A16" s="1" t="s">
        <v>0</v>
      </c>
      <c r="B16" s="3">
        <f>B4</f>
        <v>77.966630282239194</v>
      </c>
    </row>
    <row r="18" spans="1:5" x14ac:dyDescent="0.2">
      <c r="A18" s="1" t="s">
        <v>18</v>
      </c>
      <c r="B18" s="3">
        <v>57</v>
      </c>
    </row>
    <row r="19" spans="1:5" x14ac:dyDescent="0.2">
      <c r="A19" s="1" t="s">
        <v>19</v>
      </c>
      <c r="B19" s="1">
        <f>B20*660*B18/1000000</f>
        <v>2.9331046312178382</v>
      </c>
      <c r="D19" s="3">
        <v>16.5</v>
      </c>
      <c r="E19" s="2">
        <f>B19/D19</f>
        <v>0.17776391704350533</v>
      </c>
    </row>
    <row r="20" spans="1:5" x14ac:dyDescent="0.2">
      <c r="A20" s="1" t="s">
        <v>0</v>
      </c>
      <c r="B20" s="3">
        <f>B4</f>
        <v>77.966630282239194</v>
      </c>
    </row>
    <row r="22" spans="1:5" x14ac:dyDescent="0.2">
      <c r="A22" s="1" t="s">
        <v>17</v>
      </c>
    </row>
    <row r="23" spans="1:5" x14ac:dyDescent="0.2">
      <c r="A23" s="1">
        <f>B3+B7+B11+B15</f>
        <v>293.00171526586615</v>
      </c>
    </row>
    <row r="26" spans="1:5" ht="24" x14ac:dyDescent="0.2">
      <c r="D26" s="4"/>
    </row>
  </sheetData>
  <mergeCells count="1">
    <mergeCell ref="H1:J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Frag#2</vt:lpstr>
      <vt:lpstr>Frag#3</vt:lpstr>
      <vt:lpstr>Frag#4</vt:lpstr>
      <vt:lpstr>Frag#5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JUN</dc:creator>
  <cp:lastModifiedBy>KWAKJUNSOUNG</cp:lastModifiedBy>
  <dcterms:created xsi:type="dcterms:W3CDTF">2019-06-12T15:42:27Z</dcterms:created>
  <dcterms:modified xsi:type="dcterms:W3CDTF">2026-04-08T16:27:46Z</dcterms:modified>
</cp:coreProperties>
</file>